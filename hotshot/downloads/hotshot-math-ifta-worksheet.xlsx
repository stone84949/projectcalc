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ston\AppData\Local\Temp\claude\C--Users-jston-Vault\65110370-aabf-40b0-8298-a551f2aac95d\scratchpad\out\"/>
    </mc:Choice>
  </mc:AlternateContent>
  <xr:revisionPtr revIDLastSave="0" documentId="8_{CEBE76B8-5E4A-41CF-8BE7-8B44F550C41E}" xr6:coauthVersionLast="47" xr6:coauthVersionMax="47" xr10:uidLastSave="{00000000-0000-0000-0000-000000000000}"/>
  <bookViews>
    <workbookView xWindow="3072" yWindow="3072" windowWidth="30960" windowHeight="12120" xr2:uid="{00000000-000D-0000-FFFF-FFFF00000000}"/>
  </bookViews>
  <sheets>
    <sheet name="How to use" sheetId="1" r:id="rId1"/>
    <sheet name="Quarter worksheet" sheetId="2" r:id="rId2"/>
    <sheet name="Due dates" sheetId="3" r:id="rId3"/>
    <sheet name="Disclaimer" sheetId="4" r:id="rId4"/>
  </sheets>
  <definedNames>
    <definedName name="_xlnm.Print_Titles" localSheetId="1">'Quarter worksheet'!$14:$14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C17" i="3" s="1"/>
  <c r="C45" i="2"/>
  <c r="B7" i="2" s="1"/>
  <c r="B9" i="2" s="1"/>
  <c r="B45" i="2"/>
  <c r="B11" i="2"/>
  <c r="B10" i="2"/>
  <c r="C26" i="1"/>
  <c r="D17" i="3" l="1"/>
  <c r="E17" i="3"/>
  <c r="F17" i="3" s="1"/>
  <c r="C16" i="3"/>
  <c r="C15" i="3"/>
  <c r="C9" i="3"/>
  <c r="C8" i="3"/>
  <c r="C14" i="3"/>
  <c r="C7" i="3"/>
  <c r="C6" i="3"/>
  <c r="D15" i="2"/>
  <c r="D17" i="2"/>
  <c r="E17" i="2" s="1"/>
  <c r="G17" i="2" s="1"/>
  <c r="D16" i="2"/>
  <c r="E16" i="2" s="1"/>
  <c r="G16" i="2" s="1"/>
  <c r="D18" i="2"/>
  <c r="E18" i="2" s="1"/>
  <c r="G18" i="2" s="1"/>
  <c r="D19" i="2"/>
  <c r="E19" i="2" s="1"/>
  <c r="G19" i="2" s="1"/>
  <c r="D21" i="2"/>
  <c r="E21" i="2" s="1"/>
  <c r="G21" i="2" s="1"/>
  <c r="D22" i="2"/>
  <c r="E22" i="2" s="1"/>
  <c r="G22" i="2" s="1"/>
  <c r="D24" i="2"/>
  <c r="E24" i="2" s="1"/>
  <c r="G24" i="2" s="1"/>
  <c r="D25" i="2"/>
  <c r="E25" i="2" s="1"/>
  <c r="G25" i="2" s="1"/>
  <c r="D26" i="2"/>
  <c r="E26" i="2" s="1"/>
  <c r="G26" i="2" s="1"/>
  <c r="D23" i="2"/>
  <c r="E23" i="2" s="1"/>
  <c r="G23" i="2" s="1"/>
  <c r="D27" i="2"/>
  <c r="E27" i="2" s="1"/>
  <c r="G27" i="2" s="1"/>
  <c r="D28" i="2"/>
  <c r="E28" i="2" s="1"/>
  <c r="G28" i="2" s="1"/>
  <c r="D29" i="2"/>
  <c r="E29" i="2" s="1"/>
  <c r="G29" i="2" s="1"/>
  <c r="D30" i="2"/>
  <c r="E30" i="2" s="1"/>
  <c r="G30" i="2" s="1"/>
  <c r="D31" i="2"/>
  <c r="E31" i="2" s="1"/>
  <c r="G31" i="2" s="1"/>
  <c r="D32" i="2"/>
  <c r="E32" i="2" s="1"/>
  <c r="G32" i="2" s="1"/>
  <c r="D33" i="2"/>
  <c r="E33" i="2" s="1"/>
  <c r="G33" i="2" s="1"/>
  <c r="D41" i="2"/>
  <c r="E41" i="2" s="1"/>
  <c r="G41" i="2" s="1"/>
  <c r="D44" i="2"/>
  <c r="E44" i="2" s="1"/>
  <c r="G44" i="2" s="1"/>
  <c r="D35" i="2"/>
  <c r="E35" i="2" s="1"/>
  <c r="G35" i="2" s="1"/>
  <c r="D36" i="2"/>
  <c r="E36" i="2" s="1"/>
  <c r="G36" i="2" s="1"/>
  <c r="D37" i="2"/>
  <c r="E37" i="2" s="1"/>
  <c r="G37" i="2" s="1"/>
  <c r="D38" i="2"/>
  <c r="E38" i="2" s="1"/>
  <c r="G38" i="2" s="1"/>
  <c r="D20" i="2"/>
  <c r="E20" i="2" s="1"/>
  <c r="G20" i="2" s="1"/>
  <c r="D34" i="2"/>
  <c r="E34" i="2" s="1"/>
  <c r="G34" i="2" s="1"/>
  <c r="D39" i="2"/>
  <c r="E39" i="2" s="1"/>
  <c r="G39" i="2" s="1"/>
  <c r="D40" i="2"/>
  <c r="E40" i="2" s="1"/>
  <c r="G40" i="2" s="1"/>
  <c r="D42" i="2"/>
  <c r="E42" i="2" s="1"/>
  <c r="G42" i="2" s="1"/>
  <c r="D43" i="2"/>
  <c r="E43" i="2" s="1"/>
  <c r="G43" i="2" s="1"/>
  <c r="D16" i="3" l="1"/>
  <c r="E16" i="3"/>
  <c r="F16" i="3" s="1"/>
  <c r="D15" i="3"/>
  <c r="E15" i="3"/>
  <c r="F15" i="3" s="1"/>
  <c r="D9" i="3"/>
  <c r="E9" i="3"/>
  <c r="F9" i="3" s="1"/>
  <c r="E8" i="3"/>
  <c r="D8" i="3"/>
  <c r="D14" i="3"/>
  <c r="E14" i="3"/>
  <c r="F14" i="3" s="1"/>
  <c r="D7" i="3"/>
  <c r="E7" i="3"/>
  <c r="F7" i="3" s="1"/>
  <c r="D6" i="3"/>
  <c r="E6" i="3"/>
  <c r="F6" i="3" s="1"/>
  <c r="E15" i="2"/>
  <c r="D45" i="2"/>
  <c r="B6" i="2" l="1"/>
  <c r="F8" i="3"/>
  <c r="G15" i="2"/>
  <c r="G45" i="2" s="1"/>
  <c r="E45" i="2"/>
</calcChain>
</file>

<file path=xl/sharedStrings.xml><?xml version="1.0" encoding="utf-8"?>
<sst xmlns="http://schemas.openxmlformats.org/spreadsheetml/2006/main" count="133" uniqueCount="105">
  <si>
    <t>Hotshot Math - free IFTA quarter worksheet</t>
  </si>
  <si>
    <t>Planning worksheet, not tax advice. Version 1.0, built 2026-10-25. Free to use and share. No macros. No tax rates are included.</t>
  </si>
  <si>
    <t>HOW TO USE IT</t>
  </si>
  <si>
    <t>Open the 'Quarter worksheet' tab. Pick the quarter you are filing and its year (yellow cells).</t>
  </si>
  <si>
    <t>One row per jurisdiction you drove in: its two-letter code, the miles you drove there, and the gallons of fuel you bought there (tax-paid, from your receipts). Rows 15 to 17 hold EXAMPLE numbers: overwrite them, or select the yellow cells and press Delete to start clean.</t>
  </si>
  <si>
    <t>Look up each jurisdiction's rate for your fuel type on the official IFTA rate matrix (link below) and type it into column F. This worksheet has no rates built in, because they change by quarter.</t>
  </si>
  <si>
    <t>Read the totals at the top: your fleet MPG, and the net tax due (+) or credit (-). The 'Due dates' tab shows when the return is due.</t>
  </si>
  <si>
    <t>Your base jurisdiction's return is what counts. Use this to check your numbers and plan the payment, then file on that return.</t>
  </si>
  <si>
    <t>COLOR KEY</t>
  </si>
  <si>
    <t>Yellow: you type here</t>
  </si>
  <si>
    <t>Grey: formula</t>
  </si>
  <si>
    <t>Green: the result you came for</t>
  </si>
  <si>
    <t>DO YOU HAVE TO FILE? THE QUALIFIED MOTOR VEHICLE (QMV) TEST</t>
  </si>
  <si>
    <t>IFTA applies to a 'qualified motor vehicle' used to carry people or property that meets any ONE of these (IFTA Articles of Agreement, R245):</t>
  </si>
  <si>
    <t xml:space="preserve">   1. two axles and a gross vehicle weight or registered gross vehicle weight over 26,000 lb (11,797 kg); or</t>
  </si>
  <si>
    <t xml:space="preserve">   2. three or more axles, regardless of weight; or</t>
  </si>
  <si>
    <t xml:space="preserve">   3. used in combination, when the combination's gross vehicle or registered gross vehicle weight is over 26,000 lb (11,797 kg).</t>
  </si>
  <si>
    <t>Recreational vehicles used only for personal pleasure and not in any business are excluded (R245, R249). IFTA's board has said axle counts refer to the power unit only, never the trailer's axles (consensus interpretation under R245).</t>
  </si>
  <si>
    <t>A person based in a member jurisdiction who operates a qualified motor vehicle in two or more member jurisdictions must be licensed (R305). IFTA decides this by weight and axles; whether the driver needs a CDL is a separate federal rule. Confirm which weight figure your base jurisdiction uses (rated, registered or actual) before relying on the quick check below.</t>
  </si>
  <si>
    <t>Quick check (type your numbers)</t>
  </si>
  <si>
    <t>Axles on the truck (power unit only)</t>
  </si>
  <si>
    <t>Count the truck's axles, not the trailer's.</t>
  </si>
  <si>
    <t>Truck gross or registered weight (lb)</t>
  </si>
  <si>
    <t>Gross vehicle weight or registered gross vehicle weight of the truck alone.</t>
  </si>
  <si>
    <t>Truck + trailer combination weight (lb)</t>
  </si>
  <si>
    <t>Gross or registered weight of the whole combination. Leave blank if you run without a trailer.</t>
  </si>
  <si>
    <t>Result</t>
  </si>
  <si>
    <t>Quick check only. 'Meets a QMV test' means IFTA reporting likely applies if you run in two or more member jurisdictions; ask your base jurisdiction to confirm.</t>
  </si>
  <si>
    <t>THINGS PEOPLE MISS</t>
  </si>
  <si>
    <t>-</t>
  </si>
  <si>
    <t>A return is required every quarter even if you drove no miles or used no taxable fuel (R930.100). A carrier with less than 5,000 miles outside its base jurisdiction in 12 months may ask the base jurisdiction for annual reporting (R930.200); that needs the base jurisdiction's approval.</t>
  </si>
  <si>
    <t>Leased to a carrier? Who reports and pays depends on the lease: for a lease of 29 days or less the lessor (you) reports; for 30 days or more the two sides may choose in writing, and without a written choice the carrier (lessee) reports (R530). Check your lease.</t>
  </si>
  <si>
    <t>Fleet MPG here is total miles divided by total gallons purchased. IFTA means fuel consumed, so if your tank held noticeably more or less fuel at the end of the quarter than the start, adjust the gallons you enter. Taxable gallons for each jurisdiction are its miles divided by that fleet MPG.</t>
  </si>
  <si>
    <t>The official return reports fleet MPG to two decimals and rounds each column to whole gallons (Procedures Manual P720), so your filed numbers can differ from this sheet by a few cents.</t>
  </si>
  <si>
    <t>Rates: use the current quarter's IFTA matrix, the U.S.-dollar figure in your fuel's column (diesel is labelled 'Special Diesel' on the matrix), and read the jurisdiction's footnotes. The matrix lists some jurisdictions (IN, KY, OH, VA) with separate surcharge or extra-fuel rows. This worksheet does not add surcharges, interest, late fees or license fees; use your base jurisdiction's return instructions for those.</t>
  </si>
  <si>
    <t>A credit (negative number) in one jurisdiction offsets tax due in another on the same return. Your base jurisdiction handles refunds and carry-overs (R1100 to R1120).</t>
  </si>
  <si>
    <t>SOURCES (all read 2026-10-25)</t>
  </si>
  <si>
    <t>IFTA, Inc. tax rate matrix (enter rates from here)</t>
  </si>
  <si>
    <t>https://www.iftach.org/taxmatrix4/</t>
  </si>
  <si>
    <t>IFTA Articles of Agreement, effective Aug 26, 2026: R245, R249, R305, R530, R930, R960, R1100</t>
  </si>
  <si>
    <t>https://www.iftach.org/manuals/2026/AA/Articles%20of%20Agreement%20-%2008-26-26.pdf</t>
  </si>
  <si>
    <t>IFTA Procedures Manual, effective Aug 26, 2026: P720 (return contents and rounding)</t>
  </si>
  <si>
    <t>https://www.iftach.org/manuals/2026/PM/Procedures%20Manual%20-%2008-26-26.pdf</t>
  </si>
  <si>
    <t>49 CFR 383.91: the separate federal CDL weight rule</t>
  </si>
  <si>
    <t>https://www.ecfr.gov/current/title-49/section-383.91</t>
  </si>
  <si>
    <t xml:space="preserve">Made by Hotshot Math - free load calculator: </t>
  </si>
  <si>
    <t>https://projectcalc-tools.pages.dev/hotshot/</t>
  </si>
  <si>
    <t>IFTA quarter worksheet - miles, gallons and tax by jurisdiction</t>
  </si>
  <si>
    <t>Yellow cells are yours to fill in. Rates are NOT included: type each one from the official IFTA rate matrix (https://www.iftach.org/taxmatrix4/).</t>
  </si>
  <si>
    <t>Planning worksheet, not tax advice. Your base jurisdiction's return is what counts.</t>
  </si>
  <si>
    <t>Quarter to file</t>
  </si>
  <si>
    <t>Q3</t>
  </si>
  <si>
    <t>Pick Q1 to Q4</t>
  </si>
  <si>
    <t>Tax year (the year the quarter is in)</t>
  </si>
  <si>
    <t>e.g. 2026</t>
  </si>
  <si>
    <t>Return due (weekend-adjusted)</t>
  </si>
  <si>
    <t>Holidays are not modelled - see 'Due dates'</t>
  </si>
  <si>
    <t>Fleet MPG from your numbers (total miles / total gallons)</t>
  </si>
  <si>
    <t>Optional: type your own fleet MPG</t>
  </si>
  <si>
    <t>Leave blank to use the line above</t>
  </si>
  <si>
    <t>MPG used to work out taxable gallons</t>
  </si>
  <si>
    <t>NET TAX DUE (+) / CREDIT (-) for the quarter</t>
  </si>
  <si>
    <t>Rows still missing a rate</t>
  </si>
  <si>
    <t>The tax total is incomplete until this is 0</t>
  </si>
  <si>
    <t>IFTA rate matrix: https://www.iftach.org/taxmatrix4/</t>
  </si>
  <si>
    <t>Rows 15 to 17 hold EXAMPLE numbers (TN, GA, AL). Overwrite them, or select the yellow cells and press Delete to start clean.</t>
  </si>
  <si>
    <t>Jurisdiction (2-letter code)</t>
  </si>
  <si>
    <t>Miles driven in the jurisdiction</t>
  </si>
  <si>
    <t>Gallons purchased there (tax-paid)</t>
  </si>
  <si>
    <t>Taxable gallons (miles / MPG)</t>
  </si>
  <si>
    <t>Net taxable gallons (taxable - purchased)</t>
  </si>
  <si>
    <t>Tax rate $/gal (YOU ENTER)</t>
  </si>
  <si>
    <t>Tax due (+) / credit (-)</t>
  </si>
  <si>
    <t>TN</t>
  </si>
  <si>
    <t>GA</t>
  </si>
  <si>
    <t>AL</t>
  </si>
  <si>
    <t>TOTALS</t>
  </si>
  <si>
    <t>Taxable gallons = the jurisdiction's miles divided by fleet MPG. Net taxable gallons = taxable gallons minus the tax-paid gallons you bought there; negative means a credit.</t>
  </si>
  <si>
    <t>With no typed MPG, net taxable gallons across all rows add up to 0 by construction (E45). Tax due or credit = net taxable gallons x rate. Surcharges, interest and late fees are not included.</t>
  </si>
  <si>
    <t>IFTA return due dates</t>
  </si>
  <si>
    <t>A quarterly return is due on the last day of the month after the quarter ends. If that day is a Saturday, Sunday or legal holiday, the next business day is the due date (R960.100). Annual filers (with base-jurisdiction approval) are due January 31 after the year.</t>
  </si>
  <si>
    <t>Tax year</t>
  </si>
  <si>
    <t>Linked to the year on the Quarter worksheet.</t>
  </si>
  <si>
    <t>Returns for the quarters of the year above</t>
  </si>
  <si>
    <t>Quarter</t>
  </si>
  <si>
    <t>Months covered</t>
  </si>
  <si>
    <t>Statutory due date</t>
  </si>
  <si>
    <t>Day</t>
  </si>
  <si>
    <t>Due after weekend rule</t>
  </si>
  <si>
    <t>Q1</t>
  </si>
  <si>
    <t>Jan - Mar</t>
  </si>
  <si>
    <t>Q2</t>
  </si>
  <si>
    <t>Apr - Jun</t>
  </si>
  <si>
    <t>Jul - Sep</t>
  </si>
  <si>
    <t>Q4</t>
  </si>
  <si>
    <t>Oct - Dec</t>
  </si>
  <si>
    <t>The same quarters, one year later (for planning ahead)</t>
  </si>
  <si>
    <t>The 'Due after weekend rule' column moves Saturday and Sunday dates to Monday. It does not know about legal holidays (federal or in your base jurisdiction): check the calendar if a due date lands next to one, and check your base jurisdiction's own filing date.</t>
  </si>
  <si>
    <t>Source: IFTA Articles of Agreement R254 (quarterly periods) and R960.100 (due date), effective Aug 26, 2026.</t>
  </si>
  <si>
    <t>Disclaimer</t>
  </si>
  <si>
    <t>This is a planning worksheet, not tax advice. It does not replace your base jurisdiction's IFTA return, instructions or forms, and it is not legal, tax or accounting advice.</t>
  </si>
  <si>
    <t>Your base jurisdiction's return is what counts. Rates change by quarter and are not included here: enter them from the official IFTA rate matrix for the quarter you are filing.</t>
  </si>
  <si>
    <t>IFTA rules, definitions, rates, surcharges, due dates, interest and penalties are set by IFTA, Inc. and by each member jurisdiction, and they can change. Check current rules with your base jurisdiction before you file or pay.</t>
  </si>
  <si>
    <t>The worksheet works with the numbers you type. It does not check them against your trip records or fuel receipts, and it shows results to the cent without the whole-gallon rounding on the official return.</t>
  </si>
  <si>
    <t>Made by Hotshot Math. Provided as is, free to use and to share unchanged. Nothing here is affiliated with or endorsed by IFTA, Inc. or any government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</si>
</sst>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d\ mmm\ d\,\ yyyy"/>
    <numFmt numFmtId="165" formatCode="\$#,##0.00;[Red]\-\$#,##0.00;\$0.00"/>
    <numFmt numFmtId="166" formatCode="#,##0.00;[Red]\-#,##0.00"/>
    <numFmt numFmtId="167" formatCode="0.0000"/>
    <numFmt numFmtId="168" formatCode="\$#,##0.00;[Red]\-\$#,##0.00"/>
    <numFmt numFmtId="169" formatCode="mmm\ d\,\ yyyy"/>
  </numFmts>
  <fonts count="13" x14ac:knownFonts="1">
    <font>
      <sz val="11"/>
      <color theme="1"/>
      <name val="Calibri"/>
      <family val="2"/>
      <scheme val="minor"/>
    </font>
    <font>
      <b/>
      <sz val="16"/>
      <color rgb="FF1F3A5F"/>
      <name val="Arial"/>
    </font>
    <font>
      <i/>
      <sz val="10"/>
      <color rgb="FF595959"/>
      <name val="Arial"/>
    </font>
    <font>
      <b/>
      <sz val="11"/>
      <color rgb="FFFFFFFF"/>
      <name val="Arial"/>
    </font>
    <font>
      <b/>
      <sz val="10"/>
      <color rgb="FF000000"/>
      <name val="Arial"/>
    </font>
    <font>
      <sz val="10"/>
      <color rgb="FF000000"/>
      <name val="Arial"/>
    </font>
    <font>
      <sz val="10"/>
      <color rgb="FF0000FF"/>
      <name val="Arial"/>
    </font>
    <font>
      <u/>
      <sz val="9"/>
      <color rgb="FF0563C1"/>
      <name val="Arial"/>
    </font>
    <font>
      <u/>
      <sz val="10"/>
      <color rgb="FF0563C1"/>
      <name val="Arial"/>
    </font>
    <font>
      <b/>
      <sz val="14"/>
      <color rgb="FF1F3A5F"/>
      <name val="Arial"/>
    </font>
    <font>
      <b/>
      <sz val="10"/>
      <color rgb="FF9C5700"/>
      <name val="Arial"/>
    </font>
    <font>
      <b/>
      <sz val="10"/>
      <color rgb="FFFFFFFF"/>
      <name val="Arial"/>
    </font>
    <font>
      <b/>
      <sz val="11"/>
      <color rgb="FF000000"/>
      <name val="Arial"/>
    </font>
  </fonts>
  <fills count="6">
    <fill>
      <patternFill patternType="none"/>
    </fill>
    <fill>
      <patternFill patternType="gray125"/>
    </fill>
    <fill>
      <patternFill patternType="solid">
        <fgColor rgb="FF1F3A5F"/>
      </patternFill>
    </fill>
    <fill>
      <patternFill patternType="solid">
        <fgColor rgb="FFFFF2B3"/>
      </patternFill>
    </fill>
    <fill>
      <patternFill patternType="solid">
        <fgColor rgb="FFEDEDED"/>
      </patternFill>
    </fill>
    <fill>
      <patternFill patternType="solid">
        <fgColor rgb="FFDDEBDD"/>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applyAlignment="1">
      <alignment horizontal="center" vertical="top"/>
    </xf>
    <xf numFmtId="0" fontId="5" fillId="0" borderId="0" xfId="0" applyFont="1" applyAlignment="1">
      <alignment vertical="top" wrapText="1"/>
    </xf>
    <xf numFmtId="0" fontId="6" fillId="3" borderId="1" xfId="0" applyFont="1" applyFill="1" applyBorder="1"/>
    <xf numFmtId="0" fontId="5" fillId="4" borderId="1" xfId="0" applyFont="1" applyFill="1" applyBorder="1"/>
    <xf numFmtId="0" fontId="4" fillId="5" borderId="1" xfId="0" applyFont="1" applyFill="1" applyBorder="1"/>
    <xf numFmtId="0" fontId="4" fillId="0" borderId="0" xfId="0" applyFont="1"/>
    <xf numFmtId="0" fontId="5" fillId="0" borderId="0" xfId="0" applyFont="1"/>
    <xf numFmtId="1" fontId="6" fillId="3" borderId="1" xfId="0" applyNumberFormat="1" applyFont="1" applyFill="1" applyBorder="1"/>
    <xf numFmtId="3" fontId="6" fillId="3" borderId="1" xfId="0" applyNumberFormat="1" applyFont="1" applyFill="1" applyBorder="1"/>
    <xf numFmtId="0" fontId="5" fillId="0" borderId="0" xfId="0" applyFont="1" applyAlignment="1">
      <alignment horizontal="center" vertical="top"/>
    </xf>
    <xf numFmtId="0" fontId="7" fillId="0" borderId="0" xfId="0" applyFont="1" applyAlignment="1">
      <alignment vertical="top"/>
    </xf>
    <xf numFmtId="0" fontId="8" fillId="0" borderId="0" xfId="0" applyFont="1"/>
    <xf numFmtId="0" fontId="9" fillId="0" borderId="0" xfId="0" applyFont="1"/>
    <xf numFmtId="0" fontId="5" fillId="0" borderId="1" xfId="0" applyFont="1" applyBorder="1"/>
    <xf numFmtId="0" fontId="6" fillId="3" borderId="1" xfId="0" applyFont="1" applyFill="1" applyBorder="1" applyAlignment="1">
      <alignment horizontal="center" vertical="center" wrapText="1"/>
    </xf>
    <xf numFmtId="1" fontId="6" fillId="3" borderId="1" xfId="0" applyNumberFormat="1"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2" fontId="5" fillId="4" borderId="1" xfId="0" applyNumberFormat="1" applyFont="1" applyFill="1" applyBorder="1" applyAlignment="1">
      <alignment horizontal="center" vertical="center" wrapText="1"/>
    </xf>
    <xf numFmtId="2" fontId="6" fillId="3" borderId="1" xfId="0" applyNumberFormat="1" applyFont="1" applyFill="1" applyBorder="1" applyAlignment="1">
      <alignment horizontal="center" vertical="center" wrapText="1"/>
    </xf>
    <xf numFmtId="0" fontId="4" fillId="0" borderId="1" xfId="0" applyFont="1" applyBorder="1"/>
    <xf numFmtId="165" fontId="4" fillId="5" borderId="1" xfId="0" applyNumberFormat="1" applyFont="1" applyFill="1" applyBorder="1" applyAlignment="1">
      <alignment horizontal="center" vertical="center" wrapText="1"/>
    </xf>
    <xf numFmtId="1" fontId="5" fillId="4" borderId="1" xfId="0" applyNumberFormat="1" applyFont="1" applyFill="1" applyBorder="1" applyAlignment="1">
      <alignment horizontal="center" vertical="center" wrapText="1"/>
    </xf>
    <xf numFmtId="0" fontId="10" fillId="0" borderId="0" xfId="0" applyFont="1"/>
    <xf numFmtId="0" fontId="11" fillId="2" borderId="1" xfId="0" applyFont="1" applyFill="1" applyBorder="1" applyAlignment="1">
      <alignment horizontal="center" vertical="center" wrapText="1"/>
    </xf>
    <xf numFmtId="0" fontId="6" fillId="3" borderId="1" xfId="0" applyFont="1" applyFill="1" applyBorder="1" applyAlignment="1">
      <alignment horizontal="center"/>
    </xf>
    <xf numFmtId="4" fontId="6" fillId="3" borderId="1" xfId="0" applyNumberFormat="1" applyFont="1" applyFill="1" applyBorder="1"/>
    <xf numFmtId="4" fontId="5" fillId="4" borderId="1" xfId="0" applyNumberFormat="1" applyFont="1" applyFill="1" applyBorder="1"/>
    <xf numFmtId="166" fontId="5" fillId="4" borderId="1" xfId="0" applyNumberFormat="1" applyFont="1" applyFill="1" applyBorder="1"/>
    <xf numFmtId="167" fontId="6" fillId="3" borderId="1" xfId="0" applyNumberFormat="1" applyFont="1" applyFill="1" applyBorder="1"/>
    <xf numFmtId="168" fontId="5" fillId="4" borderId="1" xfId="0" applyNumberFormat="1" applyFont="1" applyFill="1" applyBorder="1"/>
    <xf numFmtId="3" fontId="4" fillId="5" borderId="1" xfId="0" applyNumberFormat="1" applyFont="1" applyFill="1" applyBorder="1"/>
    <xf numFmtId="4" fontId="4" fillId="5" borderId="1" xfId="0" applyNumberFormat="1" applyFont="1" applyFill="1" applyBorder="1"/>
    <xf numFmtId="166" fontId="4" fillId="5" borderId="1" xfId="0" applyNumberFormat="1" applyFont="1" applyFill="1" applyBorder="1"/>
    <xf numFmtId="0" fontId="5" fillId="5" borderId="1" xfId="0" applyFont="1" applyFill="1" applyBorder="1"/>
    <xf numFmtId="168" fontId="4" fillId="5" borderId="1" xfId="0" applyNumberFormat="1" applyFont="1" applyFill="1" applyBorder="1"/>
    <xf numFmtId="0" fontId="12" fillId="0" borderId="0" xfId="0" applyFont="1"/>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169"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169"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7" fillId="0" borderId="0" xfId="0" applyFont="1"/>
    <xf numFmtId="0" fontId="5" fillId="0" borderId="0" xfId="0" applyFont="1" applyAlignment="1">
      <alignment vertical="top" wrapText="1"/>
    </xf>
    <xf numFmtId="0" fontId="0" fillId="0" borderId="0" xfId="0"/>
    <xf numFmtId="0" fontId="4" fillId="5" borderId="1" xfId="0" applyFont="1" applyFill="1" applyBorder="1"/>
    <xf numFmtId="0" fontId="0" fillId="0" borderId="1" xfId="0" applyBorder="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ftach.org/manuals/2026/PM/Procedures%20Manual%20-%2008-26-26.pdf" TargetMode="External"/><Relationship Id="rId2" Type="http://schemas.openxmlformats.org/officeDocument/2006/relationships/hyperlink" Target="https://www.iftach.org/manuals/2026/AA/Articles%20of%20Agreement%20-%2008-26-26.pdf" TargetMode="External"/><Relationship Id="rId1" Type="http://schemas.openxmlformats.org/officeDocument/2006/relationships/hyperlink" Target="https://www.iftach.org/taxmatrix4/" TargetMode="External"/><Relationship Id="rId5" Type="http://schemas.openxmlformats.org/officeDocument/2006/relationships/hyperlink" Target="https://projectcalc-tools.pages.dev/hotshot/" TargetMode="External"/><Relationship Id="rId4" Type="http://schemas.openxmlformats.org/officeDocument/2006/relationships/hyperlink" Target="https://www.ecfr.gov/current/title-49/section-383.91"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projectcalc-tools.pages.dev/hotshot/" TargetMode="External"/><Relationship Id="rId1" Type="http://schemas.openxmlformats.org/officeDocument/2006/relationships/hyperlink" Target="https://www.iftach.org/taxmatrix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projectcalc-tools.pages.dev/hotshot/" TargetMode="External"/><Relationship Id="rId1" Type="http://schemas.openxmlformats.org/officeDocument/2006/relationships/hyperlink" Target="https://www.iftach.org/manuals/2026/AA/Articles%20of%20Agreement%20-%2008-26-26.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rojectcalc-tools.pages.dev/hotsh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4"/>
  <sheetViews>
    <sheetView showGridLines="0" tabSelected="1" workbookViewId="0"/>
  </sheetViews>
  <sheetFormatPr defaultRowHeight="14.4" x14ac:dyDescent="0.3"/>
  <cols>
    <col min="1" max="1" width="4" customWidth="1"/>
    <col min="2" max="2" width="44" customWidth="1"/>
    <col min="3" max="3" width="16" customWidth="1"/>
    <col min="4" max="4" width="62" customWidth="1"/>
  </cols>
  <sheetData>
    <row r="1" spans="1:4" ht="21" x14ac:dyDescent="0.4">
      <c r="A1" s="1" t="s">
        <v>0</v>
      </c>
    </row>
    <row r="2" spans="1:4" x14ac:dyDescent="0.3">
      <c r="A2" s="2" t="s">
        <v>1</v>
      </c>
    </row>
    <row r="4" spans="1:4" x14ac:dyDescent="0.3">
      <c r="A4" s="3" t="s">
        <v>2</v>
      </c>
      <c r="B4" s="4"/>
      <c r="C4" s="4"/>
      <c r="D4" s="4"/>
    </row>
    <row r="5" spans="1:4" ht="15" customHeight="1" x14ac:dyDescent="0.3">
      <c r="A5" s="5">
        <v>1</v>
      </c>
      <c r="B5" s="48" t="s">
        <v>3</v>
      </c>
      <c r="C5" s="49"/>
      <c r="D5" s="49"/>
    </row>
    <row r="6" spans="1:4" ht="45" customHeight="1" x14ac:dyDescent="0.3">
      <c r="A6" s="5">
        <v>2</v>
      </c>
      <c r="B6" s="48" t="s">
        <v>4</v>
      </c>
      <c r="C6" s="49"/>
      <c r="D6" s="49"/>
    </row>
    <row r="7" spans="1:4" ht="30" customHeight="1" x14ac:dyDescent="0.3">
      <c r="A7" s="5">
        <v>3</v>
      </c>
      <c r="B7" s="48" t="s">
        <v>5</v>
      </c>
      <c r="C7" s="49"/>
      <c r="D7" s="49"/>
    </row>
    <row r="8" spans="1:4" ht="30" customHeight="1" x14ac:dyDescent="0.3">
      <c r="A8" s="5">
        <v>4</v>
      </c>
      <c r="B8" s="48" t="s">
        <v>6</v>
      </c>
      <c r="C8" s="49"/>
      <c r="D8" s="49"/>
    </row>
    <row r="9" spans="1:4" ht="30" customHeight="1" x14ac:dyDescent="0.3">
      <c r="A9" s="5">
        <v>5</v>
      </c>
      <c r="B9" s="48" t="s">
        <v>7</v>
      </c>
      <c r="C9" s="49"/>
      <c r="D9" s="49"/>
    </row>
    <row r="11" spans="1:4" x14ac:dyDescent="0.3">
      <c r="A11" s="3" t="s">
        <v>8</v>
      </c>
      <c r="B11" s="4"/>
      <c r="C11" s="4"/>
      <c r="D11" s="4"/>
    </row>
    <row r="12" spans="1:4" x14ac:dyDescent="0.3">
      <c r="B12" s="7" t="s">
        <v>9</v>
      </c>
      <c r="C12" s="8" t="s">
        <v>10</v>
      </c>
      <c r="D12" s="9" t="s">
        <v>11</v>
      </c>
    </row>
    <row r="14" spans="1:4" x14ac:dyDescent="0.3">
      <c r="A14" s="3" t="s">
        <v>12</v>
      </c>
      <c r="B14" s="4"/>
      <c r="C14" s="4"/>
      <c r="D14" s="4"/>
    </row>
    <row r="15" spans="1:4" ht="30" customHeight="1" x14ac:dyDescent="0.3">
      <c r="B15" s="48" t="s">
        <v>13</v>
      </c>
      <c r="C15" s="49"/>
      <c r="D15" s="49"/>
    </row>
    <row r="16" spans="1:4" ht="30" customHeight="1" x14ac:dyDescent="0.3">
      <c r="B16" s="48" t="s">
        <v>14</v>
      </c>
      <c r="C16" s="49"/>
      <c r="D16" s="49"/>
    </row>
    <row r="17" spans="1:4" ht="15" customHeight="1" x14ac:dyDescent="0.3">
      <c r="B17" s="48" t="s">
        <v>15</v>
      </c>
      <c r="C17" s="49"/>
      <c r="D17" s="49"/>
    </row>
    <row r="18" spans="1:4" ht="30" customHeight="1" x14ac:dyDescent="0.3">
      <c r="B18" s="48" t="s">
        <v>16</v>
      </c>
      <c r="C18" s="49"/>
      <c r="D18" s="49"/>
    </row>
    <row r="19" spans="1:4" ht="45" customHeight="1" x14ac:dyDescent="0.3">
      <c r="B19" s="48" t="s">
        <v>17</v>
      </c>
      <c r="C19" s="49"/>
      <c r="D19" s="49"/>
    </row>
    <row r="20" spans="1:4" ht="60" customHeight="1" x14ac:dyDescent="0.3">
      <c r="B20" s="48" t="s">
        <v>18</v>
      </c>
      <c r="C20" s="49"/>
      <c r="D20" s="49"/>
    </row>
    <row r="22" spans="1:4" x14ac:dyDescent="0.3">
      <c r="B22" s="10" t="s">
        <v>19</v>
      </c>
    </row>
    <row r="23" spans="1:4" x14ac:dyDescent="0.3">
      <c r="B23" s="11" t="s">
        <v>20</v>
      </c>
      <c r="C23" s="12"/>
      <c r="D23" s="2" t="s">
        <v>21</v>
      </c>
    </row>
    <row r="24" spans="1:4" x14ac:dyDescent="0.3">
      <c r="B24" s="11" t="s">
        <v>22</v>
      </c>
      <c r="C24" s="13"/>
      <c r="D24" s="2" t="s">
        <v>23</v>
      </c>
    </row>
    <row r="25" spans="1:4" x14ac:dyDescent="0.3">
      <c r="B25" s="11" t="s">
        <v>24</v>
      </c>
      <c r="C25" s="13"/>
      <c r="D25" s="2" t="s">
        <v>25</v>
      </c>
    </row>
    <row r="26" spans="1:4" x14ac:dyDescent="0.3">
      <c r="B26" s="10" t="s">
        <v>26</v>
      </c>
      <c r="C26" s="50" t="str">
        <f>IF(AND(N(C23)=0,N(C24)=0,N(C25)=0),"Enter your numbers",IF(OR(AND(N(C23)=2,N(C24)&gt;26000),N(C23)&gt;=3,N(C25)&gt;26000),"Meets a QMV test","Does not meet a QMV test"))</f>
        <v>Enter your numbers</v>
      </c>
      <c r="D26" s="51"/>
    </row>
    <row r="27" spans="1:4" ht="30" customHeight="1" x14ac:dyDescent="0.3">
      <c r="B27" s="52" t="s">
        <v>27</v>
      </c>
      <c r="C27" s="49"/>
      <c r="D27" s="49"/>
    </row>
    <row r="29" spans="1:4" x14ac:dyDescent="0.3">
      <c r="A29" s="3" t="s">
        <v>28</v>
      </c>
      <c r="B29" s="4"/>
      <c r="C29" s="4"/>
      <c r="D29" s="4"/>
    </row>
    <row r="30" spans="1:4" ht="45" customHeight="1" x14ac:dyDescent="0.3">
      <c r="A30" s="14" t="s">
        <v>29</v>
      </c>
      <c r="B30" s="48" t="s">
        <v>30</v>
      </c>
      <c r="C30" s="49"/>
      <c r="D30" s="49"/>
    </row>
    <row r="31" spans="1:4" ht="45" customHeight="1" x14ac:dyDescent="0.3">
      <c r="A31" s="14" t="s">
        <v>29</v>
      </c>
      <c r="B31" s="48" t="s">
        <v>31</v>
      </c>
      <c r="C31" s="49"/>
      <c r="D31" s="49"/>
    </row>
    <row r="32" spans="1:4" ht="45" customHeight="1" x14ac:dyDescent="0.3">
      <c r="A32" s="14" t="s">
        <v>29</v>
      </c>
      <c r="B32" s="48" t="s">
        <v>32</v>
      </c>
      <c r="C32" s="49"/>
      <c r="D32" s="49"/>
    </row>
    <row r="33" spans="1:4" ht="30" customHeight="1" x14ac:dyDescent="0.3">
      <c r="A33" s="14" t="s">
        <v>29</v>
      </c>
      <c r="B33" s="48" t="s">
        <v>33</v>
      </c>
      <c r="C33" s="49"/>
      <c r="D33" s="49"/>
    </row>
    <row r="34" spans="1:4" ht="60" customHeight="1" x14ac:dyDescent="0.3">
      <c r="A34" s="14" t="s">
        <v>29</v>
      </c>
      <c r="B34" s="48" t="s">
        <v>34</v>
      </c>
      <c r="C34" s="49"/>
      <c r="D34" s="49"/>
    </row>
    <row r="35" spans="1:4" ht="30" customHeight="1" x14ac:dyDescent="0.3">
      <c r="A35" s="14" t="s">
        <v>29</v>
      </c>
      <c r="B35" s="48" t="s">
        <v>35</v>
      </c>
      <c r="C35" s="49"/>
      <c r="D35" s="49"/>
    </row>
    <row r="37" spans="1:4" x14ac:dyDescent="0.3">
      <c r="A37" s="3" t="s">
        <v>36</v>
      </c>
      <c r="B37" s="4"/>
      <c r="C37" s="4"/>
      <c r="D37" s="4"/>
    </row>
    <row r="38" spans="1:4" ht="28.05" customHeight="1" x14ac:dyDescent="0.3">
      <c r="B38" s="48" t="s">
        <v>37</v>
      </c>
      <c r="C38" s="49"/>
      <c r="D38" s="15" t="s">
        <v>38</v>
      </c>
    </row>
    <row r="39" spans="1:4" ht="28.05" customHeight="1" x14ac:dyDescent="0.3">
      <c r="B39" s="48" t="s">
        <v>39</v>
      </c>
      <c r="C39" s="49"/>
      <c r="D39" s="15" t="s">
        <v>40</v>
      </c>
    </row>
    <row r="40" spans="1:4" ht="28.05" customHeight="1" x14ac:dyDescent="0.3">
      <c r="B40" s="48" t="s">
        <v>41</v>
      </c>
      <c r="C40" s="49"/>
      <c r="D40" s="15" t="s">
        <v>42</v>
      </c>
    </row>
    <row r="41" spans="1:4" ht="28.05" customHeight="1" x14ac:dyDescent="0.3">
      <c r="B41" s="48" t="s">
        <v>43</v>
      </c>
      <c r="C41" s="49"/>
      <c r="D41" s="15" t="s">
        <v>44</v>
      </c>
    </row>
    <row r="43" spans="1:4" x14ac:dyDescent="0.3">
      <c r="B43" s="2" t="s">
        <v>45</v>
      </c>
    </row>
    <row r="44" spans="1:4" x14ac:dyDescent="0.3">
      <c r="B44" s="16" t="s">
        <v>46</v>
      </c>
    </row>
  </sheetData>
  <mergeCells count="23">
    <mergeCell ref="B41:C41"/>
    <mergeCell ref="B40:C40"/>
    <mergeCell ref="B7:D7"/>
    <mergeCell ref="B16:D16"/>
    <mergeCell ref="B31:D31"/>
    <mergeCell ref="B18:D18"/>
    <mergeCell ref="B27:D27"/>
    <mergeCell ref="B6:D6"/>
    <mergeCell ref="B20:D20"/>
    <mergeCell ref="B33:D33"/>
    <mergeCell ref="B38:C38"/>
    <mergeCell ref="B5:D5"/>
    <mergeCell ref="B32:D32"/>
    <mergeCell ref="B35:D35"/>
    <mergeCell ref="B8:D8"/>
    <mergeCell ref="B17:D17"/>
    <mergeCell ref="C26:D26"/>
    <mergeCell ref="B34:D34"/>
    <mergeCell ref="B39:C39"/>
    <mergeCell ref="B19:D19"/>
    <mergeCell ref="B9:D9"/>
    <mergeCell ref="B30:D30"/>
    <mergeCell ref="B15:D15"/>
  </mergeCells>
  <dataValidations count="2">
    <dataValidation type="whole" allowBlank="1" errorTitle="Axles" error="Enter a whole number of axles (1 to 12)." sqref="C23" xr:uid="{00000000-0002-0000-0000-000000000000}">
      <formula1>1</formula1>
      <formula2>12</formula2>
    </dataValidation>
    <dataValidation type="decimal" allowBlank="1" errorTitle="Weight" error="Enter a weight in pounds (0 to 200,000)." sqref="C24 C25" xr:uid="{00000000-0002-0000-0000-000001000000}">
      <formula1>0</formula1>
      <formula2>200000</formula2>
    </dataValidation>
  </dataValidations>
  <hyperlinks>
    <hyperlink ref="D38" r:id="rId1" xr:uid="{00000000-0004-0000-0000-000000000000}"/>
    <hyperlink ref="D39" r:id="rId2" xr:uid="{00000000-0004-0000-0000-000001000000}"/>
    <hyperlink ref="D40" r:id="rId3" xr:uid="{00000000-0004-0000-0000-000002000000}"/>
    <hyperlink ref="D41" r:id="rId4" xr:uid="{00000000-0004-0000-0000-000003000000}"/>
    <hyperlink ref="B44" r:id="rId5" xr:uid="{00000000-0004-0000-0000-000004000000}"/>
  </hyperlinks>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1"/>
  <sheetViews>
    <sheetView showGridLines="0" workbookViewId="0"/>
  </sheetViews>
  <sheetFormatPr defaultRowHeight="14.4" x14ac:dyDescent="0.3"/>
  <cols>
    <col min="1" max="1" width="46" customWidth="1"/>
    <col min="2" max="4" width="16" customWidth="1"/>
    <col min="5" max="5" width="18" customWidth="1"/>
    <col min="6" max="6" width="16" customWidth="1"/>
    <col min="7" max="7" width="22" customWidth="1"/>
    <col min="8" max="8" width="3" customWidth="1"/>
  </cols>
  <sheetData>
    <row r="1" spans="1:7" ht="17.399999999999999" x14ac:dyDescent="0.3">
      <c r="A1" s="17" t="s">
        <v>47</v>
      </c>
    </row>
    <row r="2" spans="1:7" x14ac:dyDescent="0.3">
      <c r="A2" s="2" t="s">
        <v>48</v>
      </c>
    </row>
    <row r="3" spans="1:7" x14ac:dyDescent="0.3">
      <c r="A3" s="2" t="s">
        <v>49</v>
      </c>
    </row>
    <row r="4" spans="1:7" x14ac:dyDescent="0.3">
      <c r="A4" s="18" t="s">
        <v>50</v>
      </c>
      <c r="B4" s="19" t="s">
        <v>51</v>
      </c>
      <c r="C4" s="2" t="s">
        <v>52</v>
      </c>
    </row>
    <row r="5" spans="1:7" x14ac:dyDescent="0.3">
      <c r="A5" s="18" t="s">
        <v>53</v>
      </c>
      <c r="B5" s="20">
        <v>2026</v>
      </c>
      <c r="C5" s="2" t="s">
        <v>54</v>
      </c>
    </row>
    <row r="6" spans="1:7" x14ac:dyDescent="0.3">
      <c r="A6" s="18" t="s">
        <v>55</v>
      </c>
      <c r="B6" s="21">
        <f>IFERROR(INDEX('Due dates'!$E$6:$E$9,MATCH($B$4,'Due dates'!$A$6:$A$9,0)),"")</f>
        <v>46328</v>
      </c>
      <c r="C6" s="2" t="s">
        <v>56</v>
      </c>
    </row>
    <row r="7" spans="1:7" x14ac:dyDescent="0.3">
      <c r="A7" s="18" t="s">
        <v>57</v>
      </c>
      <c r="B7" s="22">
        <f>IF(N($C$45)&gt;0,$B$45/$C$45,"")</f>
        <v>8.5507246376811601</v>
      </c>
    </row>
    <row r="8" spans="1:7" x14ac:dyDescent="0.3">
      <c r="A8" s="18" t="s">
        <v>58</v>
      </c>
      <c r="B8" s="23"/>
      <c r="C8" s="2" t="s">
        <v>59</v>
      </c>
    </row>
    <row r="9" spans="1:7" x14ac:dyDescent="0.3">
      <c r="A9" s="18" t="s">
        <v>60</v>
      </c>
      <c r="B9" s="22">
        <f>IF(N($B$8)&gt;0,$B$8,IF(ISNUMBER($B$7),$B$7,""))</f>
        <v>8.5507246376811601</v>
      </c>
    </row>
    <row r="10" spans="1:7" x14ac:dyDescent="0.3">
      <c r="A10" s="24" t="s">
        <v>61</v>
      </c>
      <c r="B10" s="25" t="str">
        <f>IF(COUNT($F$15:$F$44)=0,"enter rates",$G$45)</f>
        <v>enter rates</v>
      </c>
    </row>
    <row r="11" spans="1:7" x14ac:dyDescent="0.3">
      <c r="A11" s="18" t="s">
        <v>62</v>
      </c>
      <c r="B11" s="26">
        <f>SUMPRODUCT((((($B$15:$B$44&lt;&gt;"")+($C$15:$C$44&lt;&gt;""))&gt;0)*($F$15:$F$44="")))</f>
        <v>3</v>
      </c>
      <c r="C11" s="2" t="s">
        <v>63</v>
      </c>
    </row>
    <row r="12" spans="1:7" x14ac:dyDescent="0.3">
      <c r="A12" s="16" t="s">
        <v>64</v>
      </c>
    </row>
    <row r="13" spans="1:7" x14ac:dyDescent="0.3">
      <c r="A13" s="27" t="s">
        <v>65</v>
      </c>
    </row>
    <row r="14" spans="1:7" ht="43.95" customHeight="1" x14ac:dyDescent="0.3">
      <c r="A14" s="28" t="s">
        <v>66</v>
      </c>
      <c r="B14" s="28" t="s">
        <v>67</v>
      </c>
      <c r="C14" s="28" t="s">
        <v>68</v>
      </c>
      <c r="D14" s="28" t="s">
        <v>69</v>
      </c>
      <c r="E14" s="28" t="s">
        <v>70</v>
      </c>
      <c r="F14" s="28" t="s">
        <v>71</v>
      </c>
      <c r="G14" s="28" t="s">
        <v>72</v>
      </c>
    </row>
    <row r="15" spans="1:7" x14ac:dyDescent="0.3">
      <c r="A15" s="29" t="s">
        <v>73</v>
      </c>
      <c r="B15" s="13">
        <v>3100</v>
      </c>
      <c r="C15" s="30">
        <v>330</v>
      </c>
      <c r="D15" s="31">
        <f t="shared" ref="D15:D44" si="0">IF(AND(COUNT($B15:$C15)&gt;0,N($B$9)&gt;0),N($B15)/$B$9,"")</f>
        <v>362.5423728813559</v>
      </c>
      <c r="E15" s="32">
        <f t="shared" ref="E15:E44" si="1">IF($D15="","",$D15-N($C15))</f>
        <v>32.542372881355902</v>
      </c>
      <c r="F15" s="33"/>
      <c r="G15" s="34" t="str">
        <f t="shared" ref="G15:G44" si="2">IF(OR($E15="",$F15=""),"",$E15*$F15)</f>
        <v/>
      </c>
    </row>
    <row r="16" spans="1:7" x14ac:dyDescent="0.3">
      <c r="A16" s="29" t="s">
        <v>74</v>
      </c>
      <c r="B16" s="13">
        <v>1800</v>
      </c>
      <c r="C16" s="30">
        <v>150</v>
      </c>
      <c r="D16" s="31">
        <f t="shared" si="0"/>
        <v>210.50847457627117</v>
      </c>
      <c r="E16" s="32">
        <f t="shared" si="1"/>
        <v>60.508474576271169</v>
      </c>
      <c r="F16" s="33"/>
      <c r="G16" s="34" t="str">
        <f t="shared" si="2"/>
        <v/>
      </c>
    </row>
    <row r="17" spans="1:7" x14ac:dyDescent="0.3">
      <c r="A17" s="29" t="s">
        <v>75</v>
      </c>
      <c r="B17" s="13">
        <v>1000</v>
      </c>
      <c r="C17" s="30">
        <v>210</v>
      </c>
      <c r="D17" s="31">
        <f t="shared" si="0"/>
        <v>116.94915254237287</v>
      </c>
      <c r="E17" s="32">
        <f t="shared" si="1"/>
        <v>-93.050847457627128</v>
      </c>
      <c r="F17" s="33"/>
      <c r="G17" s="34" t="str">
        <f t="shared" si="2"/>
        <v/>
      </c>
    </row>
    <row r="18" spans="1:7" x14ac:dyDescent="0.3">
      <c r="A18" s="29"/>
      <c r="B18" s="13"/>
      <c r="C18" s="30"/>
      <c r="D18" s="31" t="str">
        <f t="shared" si="0"/>
        <v/>
      </c>
      <c r="E18" s="32" t="str">
        <f t="shared" si="1"/>
        <v/>
      </c>
      <c r="F18" s="33"/>
      <c r="G18" s="34" t="str">
        <f t="shared" si="2"/>
        <v/>
      </c>
    </row>
    <row r="19" spans="1:7" x14ac:dyDescent="0.3">
      <c r="A19" s="29"/>
      <c r="B19" s="13"/>
      <c r="C19" s="30"/>
      <c r="D19" s="31" t="str">
        <f t="shared" si="0"/>
        <v/>
      </c>
      <c r="E19" s="32" t="str">
        <f t="shared" si="1"/>
        <v/>
      </c>
      <c r="F19" s="33"/>
      <c r="G19" s="34" t="str">
        <f t="shared" si="2"/>
        <v/>
      </c>
    </row>
    <row r="20" spans="1:7" x14ac:dyDescent="0.3">
      <c r="A20" s="29"/>
      <c r="B20" s="13"/>
      <c r="C20" s="30"/>
      <c r="D20" s="31" t="str">
        <f t="shared" si="0"/>
        <v/>
      </c>
      <c r="E20" s="32" t="str">
        <f t="shared" si="1"/>
        <v/>
      </c>
      <c r="F20" s="33"/>
      <c r="G20" s="34" t="str">
        <f t="shared" si="2"/>
        <v/>
      </c>
    </row>
    <row r="21" spans="1:7" x14ac:dyDescent="0.3">
      <c r="A21" s="29"/>
      <c r="B21" s="13"/>
      <c r="C21" s="30"/>
      <c r="D21" s="31" t="str">
        <f t="shared" si="0"/>
        <v/>
      </c>
      <c r="E21" s="32" t="str">
        <f t="shared" si="1"/>
        <v/>
      </c>
      <c r="F21" s="33"/>
      <c r="G21" s="34" t="str">
        <f t="shared" si="2"/>
        <v/>
      </c>
    </row>
    <row r="22" spans="1:7" x14ac:dyDescent="0.3">
      <c r="A22" s="29"/>
      <c r="B22" s="13"/>
      <c r="C22" s="30"/>
      <c r="D22" s="31" t="str">
        <f t="shared" si="0"/>
        <v/>
      </c>
      <c r="E22" s="32" t="str">
        <f t="shared" si="1"/>
        <v/>
      </c>
      <c r="F22" s="33"/>
      <c r="G22" s="34" t="str">
        <f t="shared" si="2"/>
        <v/>
      </c>
    </row>
    <row r="23" spans="1:7" x14ac:dyDescent="0.3">
      <c r="A23" s="29"/>
      <c r="B23" s="13"/>
      <c r="C23" s="30"/>
      <c r="D23" s="31" t="str">
        <f t="shared" si="0"/>
        <v/>
      </c>
      <c r="E23" s="32" t="str">
        <f t="shared" si="1"/>
        <v/>
      </c>
      <c r="F23" s="33"/>
      <c r="G23" s="34" t="str">
        <f t="shared" si="2"/>
        <v/>
      </c>
    </row>
    <row r="24" spans="1:7" x14ac:dyDescent="0.3">
      <c r="A24" s="29"/>
      <c r="B24" s="13"/>
      <c r="C24" s="30"/>
      <c r="D24" s="31" t="str">
        <f t="shared" si="0"/>
        <v/>
      </c>
      <c r="E24" s="32" t="str">
        <f t="shared" si="1"/>
        <v/>
      </c>
      <c r="F24" s="33"/>
      <c r="G24" s="34" t="str">
        <f t="shared" si="2"/>
        <v/>
      </c>
    </row>
    <row r="25" spans="1:7" x14ac:dyDescent="0.3">
      <c r="A25" s="29"/>
      <c r="B25" s="13"/>
      <c r="C25" s="30"/>
      <c r="D25" s="31" t="str">
        <f t="shared" si="0"/>
        <v/>
      </c>
      <c r="E25" s="32" t="str">
        <f t="shared" si="1"/>
        <v/>
      </c>
      <c r="F25" s="33"/>
      <c r="G25" s="34" t="str">
        <f t="shared" si="2"/>
        <v/>
      </c>
    </row>
    <row r="26" spans="1:7" x14ac:dyDescent="0.3">
      <c r="A26" s="29"/>
      <c r="B26" s="13"/>
      <c r="C26" s="30"/>
      <c r="D26" s="31" t="str">
        <f t="shared" si="0"/>
        <v/>
      </c>
      <c r="E26" s="32" t="str">
        <f t="shared" si="1"/>
        <v/>
      </c>
      <c r="F26" s="33"/>
      <c r="G26" s="34" t="str">
        <f t="shared" si="2"/>
        <v/>
      </c>
    </row>
    <row r="27" spans="1:7" x14ac:dyDescent="0.3">
      <c r="A27" s="29"/>
      <c r="B27" s="13"/>
      <c r="C27" s="30"/>
      <c r="D27" s="31" t="str">
        <f t="shared" si="0"/>
        <v/>
      </c>
      <c r="E27" s="32" t="str">
        <f t="shared" si="1"/>
        <v/>
      </c>
      <c r="F27" s="33"/>
      <c r="G27" s="34" t="str">
        <f t="shared" si="2"/>
        <v/>
      </c>
    </row>
    <row r="28" spans="1:7" x14ac:dyDescent="0.3">
      <c r="A28" s="29"/>
      <c r="B28" s="13"/>
      <c r="C28" s="30"/>
      <c r="D28" s="31" t="str">
        <f t="shared" si="0"/>
        <v/>
      </c>
      <c r="E28" s="32" t="str">
        <f t="shared" si="1"/>
        <v/>
      </c>
      <c r="F28" s="33"/>
      <c r="G28" s="34" t="str">
        <f t="shared" si="2"/>
        <v/>
      </c>
    </row>
    <row r="29" spans="1:7" x14ac:dyDescent="0.3">
      <c r="A29" s="29"/>
      <c r="B29" s="13"/>
      <c r="C29" s="30"/>
      <c r="D29" s="31" t="str">
        <f t="shared" si="0"/>
        <v/>
      </c>
      <c r="E29" s="32" t="str">
        <f t="shared" si="1"/>
        <v/>
      </c>
      <c r="F29" s="33"/>
      <c r="G29" s="34" t="str">
        <f t="shared" si="2"/>
        <v/>
      </c>
    </row>
    <row r="30" spans="1:7" x14ac:dyDescent="0.3">
      <c r="A30" s="29"/>
      <c r="B30" s="13"/>
      <c r="C30" s="30"/>
      <c r="D30" s="31" t="str">
        <f t="shared" si="0"/>
        <v/>
      </c>
      <c r="E30" s="32" t="str">
        <f t="shared" si="1"/>
        <v/>
      </c>
      <c r="F30" s="33"/>
      <c r="G30" s="34" t="str">
        <f t="shared" si="2"/>
        <v/>
      </c>
    </row>
    <row r="31" spans="1:7" x14ac:dyDescent="0.3">
      <c r="A31" s="29"/>
      <c r="B31" s="13"/>
      <c r="C31" s="30"/>
      <c r="D31" s="31" t="str">
        <f t="shared" si="0"/>
        <v/>
      </c>
      <c r="E31" s="32" t="str">
        <f t="shared" si="1"/>
        <v/>
      </c>
      <c r="F31" s="33"/>
      <c r="G31" s="34" t="str">
        <f t="shared" si="2"/>
        <v/>
      </c>
    </row>
    <row r="32" spans="1:7" x14ac:dyDescent="0.3">
      <c r="A32" s="29"/>
      <c r="B32" s="13"/>
      <c r="C32" s="30"/>
      <c r="D32" s="31" t="str">
        <f t="shared" si="0"/>
        <v/>
      </c>
      <c r="E32" s="32" t="str">
        <f t="shared" si="1"/>
        <v/>
      </c>
      <c r="F32" s="33"/>
      <c r="G32" s="34" t="str">
        <f t="shared" si="2"/>
        <v/>
      </c>
    </row>
    <row r="33" spans="1:7" x14ac:dyDescent="0.3">
      <c r="A33" s="29"/>
      <c r="B33" s="13"/>
      <c r="C33" s="30"/>
      <c r="D33" s="31" t="str">
        <f t="shared" si="0"/>
        <v/>
      </c>
      <c r="E33" s="32" t="str">
        <f t="shared" si="1"/>
        <v/>
      </c>
      <c r="F33" s="33"/>
      <c r="G33" s="34" t="str">
        <f t="shared" si="2"/>
        <v/>
      </c>
    </row>
    <row r="34" spans="1:7" x14ac:dyDescent="0.3">
      <c r="A34" s="29"/>
      <c r="B34" s="13"/>
      <c r="C34" s="30"/>
      <c r="D34" s="31" t="str">
        <f t="shared" si="0"/>
        <v/>
      </c>
      <c r="E34" s="32" t="str">
        <f t="shared" si="1"/>
        <v/>
      </c>
      <c r="F34" s="33"/>
      <c r="G34" s="34" t="str">
        <f t="shared" si="2"/>
        <v/>
      </c>
    </row>
    <row r="35" spans="1:7" x14ac:dyDescent="0.3">
      <c r="A35" s="29"/>
      <c r="B35" s="13"/>
      <c r="C35" s="30"/>
      <c r="D35" s="31" t="str">
        <f t="shared" si="0"/>
        <v/>
      </c>
      <c r="E35" s="32" t="str">
        <f t="shared" si="1"/>
        <v/>
      </c>
      <c r="F35" s="33"/>
      <c r="G35" s="34" t="str">
        <f t="shared" si="2"/>
        <v/>
      </c>
    </row>
    <row r="36" spans="1:7" x14ac:dyDescent="0.3">
      <c r="A36" s="29"/>
      <c r="B36" s="13"/>
      <c r="C36" s="30"/>
      <c r="D36" s="31" t="str">
        <f t="shared" si="0"/>
        <v/>
      </c>
      <c r="E36" s="32" t="str">
        <f t="shared" si="1"/>
        <v/>
      </c>
      <c r="F36" s="33"/>
      <c r="G36" s="34" t="str">
        <f t="shared" si="2"/>
        <v/>
      </c>
    </row>
    <row r="37" spans="1:7" x14ac:dyDescent="0.3">
      <c r="A37" s="29"/>
      <c r="B37" s="13"/>
      <c r="C37" s="30"/>
      <c r="D37" s="31" t="str">
        <f t="shared" si="0"/>
        <v/>
      </c>
      <c r="E37" s="32" t="str">
        <f t="shared" si="1"/>
        <v/>
      </c>
      <c r="F37" s="33"/>
      <c r="G37" s="34" t="str">
        <f t="shared" si="2"/>
        <v/>
      </c>
    </row>
    <row r="38" spans="1:7" x14ac:dyDescent="0.3">
      <c r="A38" s="29"/>
      <c r="B38" s="13"/>
      <c r="C38" s="30"/>
      <c r="D38" s="31" t="str">
        <f t="shared" si="0"/>
        <v/>
      </c>
      <c r="E38" s="32" t="str">
        <f t="shared" si="1"/>
        <v/>
      </c>
      <c r="F38" s="33"/>
      <c r="G38" s="34" t="str">
        <f t="shared" si="2"/>
        <v/>
      </c>
    </row>
    <row r="39" spans="1:7" x14ac:dyDescent="0.3">
      <c r="A39" s="29"/>
      <c r="B39" s="13"/>
      <c r="C39" s="30"/>
      <c r="D39" s="31" t="str">
        <f t="shared" si="0"/>
        <v/>
      </c>
      <c r="E39" s="32" t="str">
        <f t="shared" si="1"/>
        <v/>
      </c>
      <c r="F39" s="33"/>
      <c r="G39" s="34" t="str">
        <f t="shared" si="2"/>
        <v/>
      </c>
    </row>
    <row r="40" spans="1:7" x14ac:dyDescent="0.3">
      <c r="A40" s="29"/>
      <c r="B40" s="13"/>
      <c r="C40" s="30"/>
      <c r="D40" s="31" t="str">
        <f t="shared" si="0"/>
        <v/>
      </c>
      <c r="E40" s="32" t="str">
        <f t="shared" si="1"/>
        <v/>
      </c>
      <c r="F40" s="33"/>
      <c r="G40" s="34" t="str">
        <f t="shared" si="2"/>
        <v/>
      </c>
    </row>
    <row r="41" spans="1:7" x14ac:dyDescent="0.3">
      <c r="A41" s="29"/>
      <c r="B41" s="13"/>
      <c r="C41" s="30"/>
      <c r="D41" s="31" t="str">
        <f t="shared" si="0"/>
        <v/>
      </c>
      <c r="E41" s="32" t="str">
        <f t="shared" si="1"/>
        <v/>
      </c>
      <c r="F41" s="33"/>
      <c r="G41" s="34" t="str">
        <f t="shared" si="2"/>
        <v/>
      </c>
    </row>
    <row r="42" spans="1:7" x14ac:dyDescent="0.3">
      <c r="A42" s="29"/>
      <c r="B42" s="13"/>
      <c r="C42" s="30"/>
      <c r="D42" s="31" t="str">
        <f t="shared" si="0"/>
        <v/>
      </c>
      <c r="E42" s="32" t="str">
        <f t="shared" si="1"/>
        <v/>
      </c>
      <c r="F42" s="33"/>
      <c r="G42" s="34" t="str">
        <f t="shared" si="2"/>
        <v/>
      </c>
    </row>
    <row r="43" spans="1:7" x14ac:dyDescent="0.3">
      <c r="A43" s="29"/>
      <c r="B43" s="13"/>
      <c r="C43" s="30"/>
      <c r="D43" s="31" t="str">
        <f t="shared" si="0"/>
        <v/>
      </c>
      <c r="E43" s="32" t="str">
        <f t="shared" si="1"/>
        <v/>
      </c>
      <c r="F43" s="33"/>
      <c r="G43" s="34" t="str">
        <f t="shared" si="2"/>
        <v/>
      </c>
    </row>
    <row r="44" spans="1:7" x14ac:dyDescent="0.3">
      <c r="A44" s="29"/>
      <c r="B44" s="13"/>
      <c r="C44" s="30"/>
      <c r="D44" s="31" t="str">
        <f t="shared" si="0"/>
        <v/>
      </c>
      <c r="E44" s="32" t="str">
        <f t="shared" si="1"/>
        <v/>
      </c>
      <c r="F44" s="33"/>
      <c r="G44" s="34" t="str">
        <f t="shared" si="2"/>
        <v/>
      </c>
    </row>
    <row r="45" spans="1:7" x14ac:dyDescent="0.3">
      <c r="A45" s="9" t="s">
        <v>76</v>
      </c>
      <c r="B45" s="35">
        <f>SUM(B15:B44)</f>
        <v>5900</v>
      </c>
      <c r="C45" s="36">
        <f>SUM(C15:C44)</f>
        <v>690</v>
      </c>
      <c r="D45" s="36">
        <f>SUM(D15:D44)</f>
        <v>689.99999999999989</v>
      </c>
      <c r="E45" s="37">
        <f>SUM(E15:E44)</f>
        <v>0</v>
      </c>
      <c r="F45" s="38"/>
      <c r="G45" s="39">
        <f>SUM(G15:G44)</f>
        <v>0</v>
      </c>
    </row>
    <row r="47" spans="1:7" x14ac:dyDescent="0.3">
      <c r="A47" s="2" t="s">
        <v>77</v>
      </c>
    </row>
    <row r="48" spans="1:7" x14ac:dyDescent="0.3">
      <c r="A48" s="2" t="s">
        <v>78</v>
      </c>
    </row>
    <row r="50" spans="1:1" x14ac:dyDescent="0.3">
      <c r="A50" s="2" t="s">
        <v>45</v>
      </c>
    </row>
    <row r="51" spans="1:1" x14ac:dyDescent="0.3">
      <c r="A51" s="16" t="s">
        <v>46</v>
      </c>
    </row>
  </sheetData>
  <dataValidations count="6">
    <dataValidation type="list" errorTitle="Quarter" error="Pick Q1, Q2, Q3 or Q4." sqref="B4" xr:uid="{00000000-0002-0000-0100-000000000000}">
      <formula1>"Q1,Q2,Q3,Q4"</formula1>
    </dataValidation>
    <dataValidation type="whole" errorTitle="Year" error="Enter a four-digit year, 2020 to 2099." sqref="B5" xr:uid="{00000000-0002-0000-0100-000001000000}">
      <formula1>2020</formula1>
      <formula2>2099</formula2>
    </dataValidation>
    <dataValidation type="decimal" allowBlank="1" errorTitle="Fleet MPG" error="Enter miles per gallon between 1 and 60, or leave blank." sqref="B8" xr:uid="{00000000-0002-0000-0100-000002000000}">
      <formula1>1</formula1>
      <formula2>60</formula2>
    </dataValidation>
    <dataValidation type="decimal" allowBlank="1" errorTitle="Number" error="Enter a number that is 0 or more." sqref="B15:C44" xr:uid="{00000000-0002-0000-0100-000003000000}">
      <formula1>0</formula1>
      <formula2>1000000</formula2>
    </dataValidation>
    <dataValidation type="decimal" allowBlank="1" errorTitle="Rate" error="Enter the rate in dollars per gallon (0 to 10), from the IFTA matrix." promptTitle="Rate" prompt="Dollars per gallon, from the current IFTA rate matrix." sqref="F15:F44" xr:uid="{00000000-0002-0000-0100-000004000000}">
      <formula1>0</formula1>
      <formula2>10</formula2>
    </dataValidation>
    <dataValidation type="textLength" allowBlank="1" errorTitle="Jurisdiction" error="Use the short code, like TN or ON." sqref="A15:A44" xr:uid="{00000000-0002-0000-0100-000005000000}">
      <formula1>1</formula1>
      <formula2>6</formula2>
    </dataValidation>
  </dataValidations>
  <hyperlinks>
    <hyperlink ref="A12" r:id="rId1" xr:uid="{00000000-0004-0000-0100-000000000000}"/>
    <hyperlink ref="A51" r:id="rId2" xr:uid="{00000000-0004-0000-0100-000001000000}"/>
  </hyperlink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5"/>
  <sheetViews>
    <sheetView showGridLines="0" workbookViewId="0"/>
  </sheetViews>
  <sheetFormatPr defaultRowHeight="14.4" x14ac:dyDescent="0.3"/>
  <cols>
    <col min="1" max="1" width="10" customWidth="1"/>
    <col min="2" max="2" width="18" customWidth="1"/>
    <col min="3" max="3" width="20" customWidth="1"/>
    <col min="4" max="4" width="12" customWidth="1"/>
    <col min="5" max="5" width="22" customWidth="1"/>
    <col min="6" max="6" width="12" customWidth="1"/>
    <col min="7" max="7" width="3" customWidth="1"/>
  </cols>
  <sheetData>
    <row r="1" spans="1:6" ht="17.399999999999999" x14ac:dyDescent="0.3">
      <c r="A1" s="17" t="s">
        <v>79</v>
      </c>
    </row>
    <row r="2" spans="1:6" ht="58.05" customHeight="1" x14ac:dyDescent="0.3">
      <c r="A2" s="48" t="s">
        <v>80</v>
      </c>
      <c r="B2" s="49"/>
      <c r="C2" s="49"/>
      <c r="D2" s="49"/>
      <c r="E2" s="49"/>
      <c r="F2" s="49"/>
    </row>
    <row r="3" spans="1:6" x14ac:dyDescent="0.3">
      <c r="A3" s="10" t="s">
        <v>81</v>
      </c>
      <c r="B3" s="26">
        <f>'Quarter worksheet'!$B$5</f>
        <v>2026</v>
      </c>
      <c r="C3" s="2" t="s">
        <v>82</v>
      </c>
    </row>
    <row r="4" spans="1:6" x14ac:dyDescent="0.3">
      <c r="A4" s="40" t="s">
        <v>83</v>
      </c>
    </row>
    <row r="5" spans="1:6" ht="31.95" customHeight="1" x14ac:dyDescent="0.3">
      <c r="A5" s="28" t="s">
        <v>84</v>
      </c>
      <c r="B5" s="28" t="s">
        <v>85</v>
      </c>
      <c r="C5" s="28" t="s">
        <v>86</v>
      </c>
      <c r="D5" s="28" t="s">
        <v>87</v>
      </c>
      <c r="E5" s="28" t="s">
        <v>88</v>
      </c>
      <c r="F5" s="28" t="s">
        <v>87</v>
      </c>
    </row>
    <row r="6" spans="1:6" x14ac:dyDescent="0.3">
      <c r="A6" s="41" t="s">
        <v>89</v>
      </c>
      <c r="B6" s="42" t="s">
        <v>90</v>
      </c>
      <c r="C6" s="43">
        <f>DATE($B$3+0,4,30)</f>
        <v>46142</v>
      </c>
      <c r="D6" s="44" t="str">
        <f>TEXT(C6,"ddd")</f>
        <v>Thu</v>
      </c>
      <c r="E6" s="45">
        <f>C6+IF(WEEKDAY(C6,2)=6,2,IF(WEEKDAY(C6,2)=7,1,0))</f>
        <v>46142</v>
      </c>
      <c r="F6" s="46" t="str">
        <f>TEXT(E6,"ddd")</f>
        <v>Thu</v>
      </c>
    </row>
    <row r="7" spans="1:6" x14ac:dyDescent="0.3">
      <c r="A7" s="41" t="s">
        <v>91</v>
      </c>
      <c r="B7" s="42" t="s">
        <v>92</v>
      </c>
      <c r="C7" s="43">
        <f>DATE($B$3+0,7,31)</f>
        <v>46234</v>
      </c>
      <c r="D7" s="44" t="str">
        <f>TEXT(C7,"ddd")</f>
        <v>Fri</v>
      </c>
      <c r="E7" s="45">
        <f>C7+IF(WEEKDAY(C7,2)=6,2,IF(WEEKDAY(C7,2)=7,1,0))</f>
        <v>46234</v>
      </c>
      <c r="F7" s="46" t="str">
        <f>TEXT(E7,"ddd")</f>
        <v>Fri</v>
      </c>
    </row>
    <row r="8" spans="1:6" x14ac:dyDescent="0.3">
      <c r="A8" s="41" t="s">
        <v>51</v>
      </c>
      <c r="B8" s="42" t="s">
        <v>93</v>
      </c>
      <c r="C8" s="43">
        <f>DATE($B$3+0,10,31)</f>
        <v>46326</v>
      </c>
      <c r="D8" s="44" t="str">
        <f>TEXT(C8,"ddd")</f>
        <v>Sat</v>
      </c>
      <c r="E8" s="45">
        <f>C8+IF(WEEKDAY(C8,2)=6,2,IF(WEEKDAY(C8,2)=7,1,0))</f>
        <v>46328</v>
      </c>
      <c r="F8" s="46" t="str">
        <f>TEXT(E8,"ddd")</f>
        <v>Mon</v>
      </c>
    </row>
    <row r="9" spans="1:6" x14ac:dyDescent="0.3">
      <c r="A9" s="41" t="s">
        <v>94</v>
      </c>
      <c r="B9" s="42" t="s">
        <v>95</v>
      </c>
      <c r="C9" s="43">
        <f>DATE($B$3+1,1,31)</f>
        <v>46418</v>
      </c>
      <c r="D9" s="44" t="str">
        <f>TEXT(C9,"ddd")</f>
        <v>Sun</v>
      </c>
      <c r="E9" s="45">
        <f>C9+IF(WEEKDAY(C9,2)=6,2,IF(WEEKDAY(C9,2)=7,1,0))</f>
        <v>46419</v>
      </c>
      <c r="F9" s="46" t="str">
        <f>TEXT(E9,"ddd")</f>
        <v>Mon</v>
      </c>
    </row>
    <row r="12" spans="1:6" x14ac:dyDescent="0.3">
      <c r="A12" s="40" t="s">
        <v>96</v>
      </c>
    </row>
    <row r="13" spans="1:6" ht="31.95" customHeight="1" x14ac:dyDescent="0.3">
      <c r="A13" s="28" t="s">
        <v>84</v>
      </c>
      <c r="B13" s="28" t="s">
        <v>85</v>
      </c>
      <c r="C13" s="28" t="s">
        <v>86</v>
      </c>
      <c r="D13" s="28" t="s">
        <v>87</v>
      </c>
      <c r="E13" s="28" t="s">
        <v>88</v>
      </c>
      <c r="F13" s="28" t="s">
        <v>87</v>
      </c>
    </row>
    <row r="14" spans="1:6" x14ac:dyDescent="0.3">
      <c r="A14" s="41" t="s">
        <v>89</v>
      </c>
      <c r="B14" s="42" t="s">
        <v>90</v>
      </c>
      <c r="C14" s="43">
        <f>DATE(($B$3+1)+0,4,30)</f>
        <v>46507</v>
      </c>
      <c r="D14" s="44" t="str">
        <f>TEXT(C14,"ddd")</f>
        <v>Fri</v>
      </c>
      <c r="E14" s="45">
        <f>C14+IF(WEEKDAY(C14,2)=6,2,IF(WEEKDAY(C14,2)=7,1,0))</f>
        <v>46507</v>
      </c>
      <c r="F14" s="46" t="str">
        <f>TEXT(E14,"ddd")</f>
        <v>Fri</v>
      </c>
    </row>
    <row r="15" spans="1:6" x14ac:dyDescent="0.3">
      <c r="A15" s="41" t="s">
        <v>91</v>
      </c>
      <c r="B15" s="42" t="s">
        <v>92</v>
      </c>
      <c r="C15" s="43">
        <f>DATE(($B$3+1)+0,7,31)</f>
        <v>46599</v>
      </c>
      <c r="D15" s="44" t="str">
        <f>TEXT(C15,"ddd")</f>
        <v>Sat</v>
      </c>
      <c r="E15" s="45">
        <f>C15+IF(WEEKDAY(C15,2)=6,2,IF(WEEKDAY(C15,2)=7,1,0))</f>
        <v>46601</v>
      </c>
      <c r="F15" s="46" t="str">
        <f>TEXT(E15,"ddd")</f>
        <v>Mon</v>
      </c>
    </row>
    <row r="16" spans="1:6" x14ac:dyDescent="0.3">
      <c r="A16" s="41" t="s">
        <v>51</v>
      </c>
      <c r="B16" s="42" t="s">
        <v>93</v>
      </c>
      <c r="C16" s="43">
        <f>DATE(($B$3+1)+0,10,31)</f>
        <v>46691</v>
      </c>
      <c r="D16" s="44" t="str">
        <f>TEXT(C16,"ddd")</f>
        <v>Sun</v>
      </c>
      <c r="E16" s="45">
        <f>C16+IF(WEEKDAY(C16,2)=6,2,IF(WEEKDAY(C16,2)=7,1,0))</f>
        <v>46692</v>
      </c>
      <c r="F16" s="46" t="str">
        <f>TEXT(E16,"ddd")</f>
        <v>Mon</v>
      </c>
    </row>
    <row r="17" spans="1:6" x14ac:dyDescent="0.3">
      <c r="A17" s="41" t="s">
        <v>94</v>
      </c>
      <c r="B17" s="42" t="s">
        <v>95</v>
      </c>
      <c r="C17" s="43">
        <f>DATE(($B$3+1)+1,1,31)</f>
        <v>46783</v>
      </c>
      <c r="D17" s="44" t="str">
        <f>TEXT(C17,"ddd")</f>
        <v>Mon</v>
      </c>
      <c r="E17" s="45">
        <f>C17+IF(WEEKDAY(C17,2)=6,2,IF(WEEKDAY(C17,2)=7,1,0))</f>
        <v>46783</v>
      </c>
      <c r="F17" s="46" t="str">
        <f>TEXT(E17,"ddd")</f>
        <v>Mon</v>
      </c>
    </row>
    <row r="19" spans="1:6" ht="58.05" customHeight="1" x14ac:dyDescent="0.3">
      <c r="A19" s="48" t="s">
        <v>97</v>
      </c>
      <c r="B19" s="49"/>
      <c r="C19" s="49"/>
      <c r="D19" s="49"/>
      <c r="E19" s="49"/>
      <c r="F19" s="49"/>
    </row>
    <row r="21" spans="1:6" x14ac:dyDescent="0.3">
      <c r="A21" s="2" t="s">
        <v>98</v>
      </c>
    </row>
    <row r="22" spans="1:6" x14ac:dyDescent="0.3">
      <c r="A22" s="47" t="s">
        <v>40</v>
      </c>
    </row>
    <row r="24" spans="1:6" x14ac:dyDescent="0.3">
      <c r="A24" s="2" t="s">
        <v>45</v>
      </c>
    </row>
    <row r="25" spans="1:6" x14ac:dyDescent="0.3">
      <c r="A25" s="16" t="s">
        <v>46</v>
      </c>
    </row>
  </sheetData>
  <mergeCells count="2">
    <mergeCell ref="A19:F19"/>
    <mergeCell ref="A2:F2"/>
  </mergeCells>
  <hyperlinks>
    <hyperlink ref="A22" r:id="rId1" xr:uid="{00000000-0004-0000-0200-000000000000}"/>
    <hyperlink ref="A25" r:id="rId2" xr:uid="{00000000-0004-0000-0200-000001000000}"/>
  </hyperlinks>
  <pageMargins left="0.75" right="0.75" top="1" bottom="1" header="0.5" footer="0.5"/>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11"/>
  <sheetViews>
    <sheetView showGridLines="0" workbookViewId="0"/>
  </sheetViews>
  <sheetFormatPr defaultRowHeight="14.4" x14ac:dyDescent="0.3"/>
  <cols>
    <col min="1" max="1" width="100" customWidth="1"/>
  </cols>
  <sheetData>
    <row r="1" spans="1:1" ht="17.399999999999999" x14ac:dyDescent="0.3">
      <c r="A1" s="17" t="s">
        <v>99</v>
      </c>
    </row>
    <row r="3" spans="1:1" ht="30" customHeight="1" x14ac:dyDescent="0.3">
      <c r="A3" s="6" t="s">
        <v>100</v>
      </c>
    </row>
    <row r="4" spans="1:1" ht="30" customHeight="1" x14ac:dyDescent="0.3">
      <c r="A4" s="6" t="s">
        <v>101</v>
      </c>
    </row>
    <row r="5" spans="1:1" ht="45" customHeight="1" x14ac:dyDescent="0.3">
      <c r="A5" s="6" t="s">
        <v>102</v>
      </c>
    </row>
    <row r="6" spans="1:1" ht="45" customHeight="1" x14ac:dyDescent="0.3">
      <c r="A6" s="6" t="s">
        <v>103</v>
      </c>
    </row>
    <row r="7" spans="1:1" ht="30" customHeight="1" x14ac:dyDescent="0.3">
      <c r="A7" s="6" t="s">
        <v>104</v>
      </c>
    </row>
    <row r="10" spans="1:1" x14ac:dyDescent="0.3">
      <c r="A10" s="2" t="s">
        <v>45</v>
      </c>
    </row>
    <row r="11" spans="1:1" x14ac:dyDescent="0.3">
      <c r="A11" s="16" t="s">
        <v>46</v>
      </c>
    </row>
  </sheetData>
  <hyperlinks>
    <hyperlink ref="A11" r:id="rId1" xr:uid="{00000000-0004-0000-0300-000000000000}"/>
  </hyperlinks>
  <pageMargins left="0.75" right="0.7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How to use</vt:lpstr>
      <vt:lpstr>Quarter worksheet</vt:lpstr>
      <vt:lpstr>Due dates</vt:lpstr>
      <vt:lpstr>Disclaimer</vt:lpstr>
      <vt:lpstr>'Quarter worksheet'!Print_Titles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Hotshot Math - Free IFTA Quarter Worksheet</dc:title>
  <dc:creator>Hotshot Math</dc:creator>
  <dc:description>Planning worksheet, not tax advice. No tax rates included.</dc:description>
  <cp:lastModifiedBy>Josh Stone</cp:lastModifiedBy>
  <dcterms:created xsi:type="dcterms:W3CDTF">2026-10-25T17:29:10Z</dcterms:created>
  <dcterms:modified xsi:type="dcterms:W3CDTF">2026-10-25T17:29:11Z</dcterms:modified>
</cp:coreProperties>
</file>